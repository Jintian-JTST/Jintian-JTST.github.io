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./data/resource"/>
    </mc:Choice>
  </mc:AlternateContent>
  <xr:revisionPtr revIDLastSave="0" documentId="13_ncr:1_{8383F025-2819-4BB5-BFFF-5FA4232E8B18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1" l="1"/>
  <c r="K7" i="1"/>
  <c r="L6" i="1"/>
  <c r="G3" i="1"/>
  <c r="G4" i="1"/>
  <c r="H4" i="1" s="1"/>
  <c r="I4" i="1" s="1"/>
  <c r="G5" i="1"/>
  <c r="G2" i="1"/>
  <c r="F3" i="1"/>
  <c r="H3" i="1" s="1"/>
  <c r="I3" i="1" s="1"/>
  <c r="F4" i="1"/>
  <c r="F5" i="1"/>
  <c r="F2" i="1"/>
  <c r="H5" i="1" l="1"/>
  <c r="I5" i="1" s="1"/>
  <c r="H2" i="1"/>
  <c r="I2" i="1" s="1"/>
  <c r="I6" i="1"/>
  <c r="J2" i="1" s="1"/>
  <c r="K2" i="1" s="1"/>
  <c r="J5" i="1" l="1"/>
  <c r="K5" i="1" s="1"/>
  <c r="J4" i="1"/>
  <c r="K4" i="1" s="1"/>
  <c r="J3" i="1"/>
  <c r="K3" i="1" s="1"/>
  <c r="K6" i="1" l="1"/>
</calcChain>
</file>

<file path=xl/sharedStrings.xml><?xml version="1.0" encoding="utf-8"?>
<sst xmlns="http://schemas.openxmlformats.org/spreadsheetml/2006/main" count="19" uniqueCount="19">
  <si>
    <t>line</t>
    <phoneticPr fontId="1" type="noConversion"/>
  </si>
  <si>
    <t>n</t>
    <phoneticPr fontId="1" type="noConversion"/>
  </si>
  <si>
    <t>color</t>
    <phoneticPr fontId="1" type="noConversion"/>
  </si>
  <si>
    <t>lambda</t>
    <phoneticPr fontId="1" type="noConversion"/>
  </si>
  <si>
    <t>sigma lambda</t>
    <phoneticPr fontId="1" type="noConversion"/>
  </si>
  <si>
    <t>R</t>
    <phoneticPr fontId="1" type="noConversion"/>
  </si>
  <si>
    <t>sigma lambda/lambda</t>
    <phoneticPr fontId="1" type="noConversion"/>
  </si>
  <si>
    <t>sigma R</t>
    <phoneticPr fontId="1" type="noConversion"/>
  </si>
  <si>
    <t>1/sigma^2 R</t>
    <phoneticPr fontId="1" type="noConversion"/>
  </si>
  <si>
    <t>weights</t>
    <phoneticPr fontId="1" type="noConversion"/>
  </si>
  <si>
    <t>alpha</t>
    <phoneticPr fontId="1" type="noConversion"/>
  </si>
  <si>
    <t>beta</t>
    <phoneticPr fontId="1" type="noConversion"/>
  </si>
  <si>
    <t>gamma</t>
    <phoneticPr fontId="1" type="noConversion"/>
  </si>
  <si>
    <t>delta</t>
    <phoneticPr fontId="1" type="noConversion"/>
  </si>
  <si>
    <t>Red</t>
    <phoneticPr fontId="1" type="noConversion"/>
  </si>
  <si>
    <t>Aqua</t>
    <phoneticPr fontId="1" type="noConversion"/>
  </si>
  <si>
    <t>Blue</t>
    <phoneticPr fontId="1" type="noConversion"/>
  </si>
  <si>
    <t>Violet</t>
    <phoneticPr fontId="1" type="noConversion"/>
  </si>
  <si>
    <t>weight*R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</si>
</sst>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104" zoomScaleNormal="152" workbookViewId="0">
      <selection activeCell="G6" sqref="G6"/>
    </sheetView>
  </sheetViews>
  <sheetFormatPr defaultRowHeight="31.5" customHeight="1" x14ac:dyDescent="0.4"/>
  <cols>
    <col min="1" max="1" width="7.3984375" bestFit="1" customWidth="1"/>
    <col min="2" max="2" width="2.73046875" bestFit="1" customWidth="1"/>
    <col min="3" max="3" width="5.796875" bestFit="1" customWidth="1"/>
    <col min="4" max="4" width="7.53125" bestFit="1" customWidth="1"/>
    <col min="5" max="5" width="13.19921875" bestFit="1" customWidth="1"/>
    <col min="6" max="6" width="12.796875" bestFit="1" customWidth="1"/>
    <col min="7" max="7" width="20.59765625" bestFit="1" customWidth="1"/>
    <col min="8" max="8" width="17.46484375" bestFit="1" customWidth="1"/>
    <col min="9" max="9" width="16" bestFit="1" customWidth="1"/>
    <col min="10" max="10" width="7.59765625" bestFit="1" customWidth="1"/>
    <col min="11" max="11" width="12.796875" bestFit="1" customWidth="1"/>
    <col min="12" max="12" width="13" bestFit="1" customWidth="1"/>
  </cols>
  <sheetData>
    <row r="1" spans="1:12" ht="31.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/>
    </row>
    <row r="2" spans="1:12" ht="31.5" customHeight="1" x14ac:dyDescent="0.4">
      <c r="A2" s="1" t="s">
        <v>10</v>
      </c>
      <c r="B2" s="1">
        <v>3</v>
      </c>
      <c r="C2" s="1" t="s">
        <v>14</v>
      </c>
      <c r="D2" s="1">
        <v>6560</v>
      </c>
      <c r="E2" s="1">
        <v>2</v>
      </c>
      <c r="F2" s="1">
        <f>1/(D2*(1/4-1/B2^2))</f>
        <v>1.097560975609756E-3</v>
      </c>
      <c r="G2" s="1">
        <f>E2/D2</f>
        <v>3.048780487804878E-4</v>
      </c>
      <c r="H2" s="1">
        <f>G2*F2</f>
        <v>3.3462224866151099E-7</v>
      </c>
      <c r="I2" s="1">
        <f>1/H2^2</f>
        <v>8930800197530.8652</v>
      </c>
      <c r="J2" s="1">
        <f>I2/I6</f>
        <v>0.4218420417662227</v>
      </c>
      <c r="K2" s="1">
        <f>J2*F2</f>
        <v>4.629973629141468E-4</v>
      </c>
      <c r="L2" s="1"/>
    </row>
    <row r="3" spans="1:12" ht="31.5" customHeight="1" x14ac:dyDescent="0.4">
      <c r="A3" s="1" t="s">
        <v>11</v>
      </c>
      <c r="B3" s="1">
        <v>4</v>
      </c>
      <c r="C3" s="1" t="s">
        <v>15</v>
      </c>
      <c r="D3" s="1">
        <v>4852</v>
      </c>
      <c r="E3" s="1">
        <v>2</v>
      </c>
      <c r="F3" s="1">
        <f t="shared" ref="F3:F5" si="0">1/(D3*(1/4-1/B3^2))</f>
        <v>1.0992030777686177E-3</v>
      </c>
      <c r="G3" s="1">
        <f t="shared" ref="G3:G5" si="1">E3/D3</f>
        <v>4.1220115416323167E-4</v>
      </c>
      <c r="H3" s="1">
        <f t="shared" ref="H3:H5" si="2">G3*F3</f>
        <v>4.5309277731600073E-7</v>
      </c>
      <c r="I3" s="1">
        <f t="shared" ref="I3:I5" si="3">1/H3^2</f>
        <v>4871085151862.25</v>
      </c>
      <c r="J3" s="1">
        <f>I3/I6</f>
        <v>0.23008335878422287</v>
      </c>
      <c r="K3" s="1">
        <f t="shared" ref="K3:K5" si="4">J3*F3</f>
        <v>2.5290833611895888E-4</v>
      </c>
      <c r="L3" s="1"/>
    </row>
    <row r="4" spans="1:12" ht="31.5" customHeight="1" x14ac:dyDescent="0.4">
      <c r="A4" s="1" t="s">
        <v>12</v>
      </c>
      <c r="B4" s="1">
        <v>5</v>
      </c>
      <c r="C4" s="1" t="s">
        <v>16</v>
      </c>
      <c r="D4" s="1">
        <v>4338</v>
      </c>
      <c r="E4" s="1">
        <v>2</v>
      </c>
      <c r="F4" s="1">
        <f t="shared" si="0"/>
        <v>1.0977189400425914E-3</v>
      </c>
      <c r="G4" s="1">
        <f t="shared" si="1"/>
        <v>4.6104195481788842E-4</v>
      </c>
      <c r="H4" s="1">
        <f t="shared" si="2"/>
        <v>5.0609448595785685E-7</v>
      </c>
      <c r="I4" s="1">
        <f t="shared" si="3"/>
        <v>3904242537359.9844</v>
      </c>
      <c r="J4" s="1">
        <f>I4/I6</f>
        <v>0.18441501400577962</v>
      </c>
      <c r="K4" s="1">
        <f t="shared" si="4"/>
        <v>2.0243585370236406E-4</v>
      </c>
      <c r="L4" s="1"/>
    </row>
    <row r="5" spans="1:12" ht="31.5" customHeight="1" x14ac:dyDescent="0.4">
      <c r="A5" s="1" t="s">
        <v>13</v>
      </c>
      <c r="B5" s="1">
        <v>6</v>
      </c>
      <c r="C5" s="1" t="s">
        <v>17</v>
      </c>
      <c r="D5" s="1">
        <v>4093</v>
      </c>
      <c r="E5" s="1">
        <v>2</v>
      </c>
      <c r="F5" s="1">
        <f t="shared" si="0"/>
        <v>1.0994380649890056E-3</v>
      </c>
      <c r="G5" s="1">
        <f t="shared" si="1"/>
        <v>4.8863913999511361E-4</v>
      </c>
      <c r="H5" s="1">
        <f t="shared" si="2"/>
        <v>5.3722847055411949E-7</v>
      </c>
      <c r="I5" s="1">
        <f t="shared" si="3"/>
        <v>3464830228607.4204</v>
      </c>
      <c r="J5" s="1">
        <f>I5/I6</f>
        <v>0.16365958544377468</v>
      </c>
      <c r="K5" s="1">
        <f t="shared" si="4"/>
        <v>1.7993357793720646E-4</v>
      </c>
      <c r="L5" s="1"/>
    </row>
    <row r="6" spans="1:12" ht="31.5" customHeight="1" x14ac:dyDescent="0.4">
      <c r="A6" s="1"/>
      <c r="B6" s="1"/>
      <c r="C6" s="1"/>
      <c r="D6" s="1"/>
      <c r="E6" s="1"/>
      <c r="F6" s="1"/>
      <c r="G6" s="1"/>
      <c r="H6" s="1"/>
      <c r="I6" s="1">
        <f>SUM(I2:I5)</f>
        <v>21170958115360.523</v>
      </c>
      <c r="J6" s="1"/>
      <c r="K6" s="1">
        <f>SUM(K2:K5)</f>
        <v>1.0982751306726761E-3</v>
      </c>
      <c r="L6" s="1">
        <f>K6*10^10</f>
        <v>10982751.306726761</v>
      </c>
    </row>
    <row r="7" spans="1:12" ht="31.5" customHeight="1" x14ac:dyDescent="0.4">
      <c r="A7" s="1"/>
      <c r="B7" s="1"/>
      <c r="C7" s="1"/>
      <c r="D7" s="1"/>
      <c r="E7" s="1"/>
      <c r="F7" s="1"/>
      <c r="G7" s="1"/>
      <c r="H7" s="1"/>
      <c r="I7" s="1"/>
      <c r="J7" s="1"/>
      <c r="K7" s="1">
        <f>SQRT(1/I6)</f>
        <v>2.1733503605530101E-7</v>
      </c>
      <c r="L7" s="1">
        <f>K7*10^10</f>
        <v>2173.35036055301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2026-02-19T15:44:11Z</dcterms:modified>
</cp:coreProperties>
</file>