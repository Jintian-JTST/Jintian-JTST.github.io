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./data/resource"/>
    </mc:Choice>
  </mc:AlternateContent>
  <xr:revisionPtr revIDLastSave="0" documentId="13_ncr:1_{404F9864-F8AC-46F9-A0F7-CBC0A66BF0B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2" i="1"/>
  <c r="L3" i="1"/>
  <c r="L4" i="1"/>
  <c r="L5" i="1"/>
  <c r="L2" i="1"/>
  <c r="K3" i="1"/>
  <c r="K4" i="1"/>
  <c r="K5" i="1"/>
  <c r="K2" i="1"/>
  <c r="I3" i="1"/>
  <c r="I4" i="1"/>
  <c r="I5" i="1"/>
  <c r="I2" i="1"/>
  <c r="E5" i="1"/>
  <c r="H5" i="1" s="1"/>
  <c r="E3" i="1"/>
  <c r="H3" i="1" s="1"/>
  <c r="E4" i="1"/>
  <c r="H4" i="1" s="1"/>
  <c r="E2" i="1"/>
  <c r="H2" i="1" s="1"/>
</calcChain>
</file>

<file path=xl/sharedStrings.xml><?xml version="1.0" encoding="utf-8"?>
<sst xmlns="http://schemas.openxmlformats.org/spreadsheetml/2006/main" count="13" uniqueCount="13">
  <si>
    <t>w</t>
    <phoneticPr fontId="1" type="noConversion"/>
  </si>
  <si>
    <t>terr1</t>
    <phoneticPr fontId="1" type="noConversion"/>
  </si>
  <si>
    <t>terr2</t>
    <phoneticPr fontId="1" type="noConversion"/>
  </si>
  <si>
    <t>t1</t>
    <phoneticPr fontId="1" type="noConversion"/>
  </si>
  <si>
    <t>t2</t>
    <phoneticPr fontId="1" type="noConversion"/>
  </si>
  <si>
    <t>dt</t>
    <phoneticPr fontId="1" type="noConversion"/>
  </si>
  <si>
    <t>D</t>
    <phoneticPr fontId="1" type="noConversion"/>
  </si>
  <si>
    <t>dw</t>
    <phoneticPr fontId="1" type="noConversion"/>
  </si>
  <si>
    <t>terr</t>
    <phoneticPr fontId="1" type="noConversion"/>
  </si>
  <si>
    <t>roott</t>
    <phoneticPr fontId="1" type="noConversion"/>
  </si>
  <si>
    <t>terrsum</t>
    <phoneticPr fontId="1" type="noConversion"/>
  </si>
  <si>
    <t>dt/t</t>
    <phoneticPr fontId="1" type="noConversion"/>
  </si>
  <si>
    <t>ERR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</si>
</sst>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zoomScale="159" workbookViewId="0">
      <selection activeCell="M6" sqref="M6"/>
    </sheetView>
  </sheetViews>
  <sheetFormatPr defaultRowHeight="13.9" x14ac:dyDescent="0.4"/>
  <sheetData>
    <row r="1" spans="1:13" x14ac:dyDescent="0.4">
      <c r="A1" t="s">
        <v>3</v>
      </c>
      <c r="B1" t="s">
        <v>4</v>
      </c>
      <c r="C1" t="s">
        <v>1</v>
      </c>
      <c r="D1" t="s">
        <v>2</v>
      </c>
      <c r="E1" t="s">
        <v>5</v>
      </c>
      <c r="F1" t="s">
        <v>0</v>
      </c>
      <c r="G1" t="s">
        <v>6</v>
      </c>
      <c r="H1" t="s">
        <v>7</v>
      </c>
      <c r="I1" t="s">
        <v>9</v>
      </c>
      <c r="J1" t="s">
        <v>8</v>
      </c>
      <c r="K1" t="s">
        <v>10</v>
      </c>
      <c r="L1" t="s">
        <v>11</v>
      </c>
      <c r="M1" t="s">
        <v>12</v>
      </c>
    </row>
    <row r="2" spans="1:13" x14ac:dyDescent="0.4">
      <c r="A2">
        <v>20.797039999999999</v>
      </c>
      <c r="B2">
        <v>60.798290000000001</v>
      </c>
      <c r="C2">
        <v>2.5</v>
      </c>
      <c r="D2">
        <v>2.5</v>
      </c>
      <c r="E2">
        <f>B2-A2</f>
        <v>40.001249999999999</v>
      </c>
      <c r="F2">
        <v>1</v>
      </c>
      <c r="G2">
        <v>21</v>
      </c>
      <c r="H2">
        <f>E2*3</f>
        <v>120.00375</v>
      </c>
      <c r="I2">
        <f>SQRT(0.3)</f>
        <v>0.54772255750516607</v>
      </c>
      <c r="J2">
        <v>7.0000000000000007E-2</v>
      </c>
      <c r="K2">
        <f>C2+D2</f>
        <v>5</v>
      </c>
      <c r="L2">
        <f>K2/E2</f>
        <v>0.1249960938720665</v>
      </c>
      <c r="M2">
        <f>H2*(L2+1/30)</f>
        <v>19.000125000000001</v>
      </c>
    </row>
    <row r="3" spans="1:13" x14ac:dyDescent="0.4">
      <c r="A3">
        <v>22.04682</v>
      </c>
      <c r="B3">
        <v>70.798320000000004</v>
      </c>
      <c r="C3">
        <v>1.25</v>
      </c>
      <c r="D3">
        <v>2.5</v>
      </c>
      <c r="E3">
        <f t="shared" ref="E3:E4" si="0">B3-A3</f>
        <v>48.751500000000007</v>
      </c>
      <c r="F3">
        <v>2</v>
      </c>
      <c r="G3">
        <v>31</v>
      </c>
      <c r="H3">
        <f t="shared" ref="H3:H5" si="1">E3*3</f>
        <v>146.25450000000001</v>
      </c>
      <c r="I3">
        <f t="shared" ref="I3:I5" si="2">SQRT(0.3)</f>
        <v>0.54772255750516607</v>
      </c>
      <c r="J3">
        <v>7.0000000000000007E-2</v>
      </c>
      <c r="K3">
        <f t="shared" ref="K3:K5" si="3">C3+D3</f>
        <v>3.75</v>
      </c>
      <c r="L3">
        <f t="shared" ref="L3:L5" si="4">K3/E3</f>
        <v>7.6920710131995931E-2</v>
      </c>
      <c r="M3">
        <f t="shared" ref="M3:M5" si="5">H3*(L3+1/30)</f>
        <v>16.125150000000001</v>
      </c>
    </row>
    <row r="4" spans="1:13" x14ac:dyDescent="0.4">
      <c r="A4">
        <v>23.299659999999999</v>
      </c>
      <c r="B4">
        <v>85.799599999999998</v>
      </c>
      <c r="C4">
        <v>2.5</v>
      </c>
      <c r="D4">
        <v>2.5</v>
      </c>
      <c r="E4">
        <f t="shared" si="0"/>
        <v>62.499939999999995</v>
      </c>
      <c r="F4">
        <v>3</v>
      </c>
      <c r="G4">
        <v>41</v>
      </c>
      <c r="H4">
        <f t="shared" si="1"/>
        <v>187.49982</v>
      </c>
      <c r="I4">
        <f t="shared" si="2"/>
        <v>0.54772255750516607</v>
      </c>
      <c r="J4">
        <v>7.0000000000000007E-2</v>
      </c>
      <c r="K4">
        <f t="shared" si="3"/>
        <v>5</v>
      </c>
      <c r="L4">
        <f t="shared" si="4"/>
        <v>8.0000076800073733E-2</v>
      </c>
      <c r="M4">
        <f t="shared" si="5"/>
        <v>21.249994000000001</v>
      </c>
    </row>
    <row r="5" spans="1:13" x14ac:dyDescent="0.4">
      <c r="A5">
        <v>28.2972</v>
      </c>
      <c r="B5">
        <v>75.798540000000003</v>
      </c>
      <c r="C5">
        <v>2.5</v>
      </c>
      <c r="D5">
        <v>2.5</v>
      </c>
      <c r="E5">
        <f>B5-A5</f>
        <v>47.501339999999999</v>
      </c>
      <c r="F5">
        <v>4</v>
      </c>
      <c r="G5">
        <v>51</v>
      </c>
      <c r="H5">
        <f t="shared" si="1"/>
        <v>142.50402</v>
      </c>
      <c r="I5">
        <f t="shared" si="2"/>
        <v>0.54772255750516607</v>
      </c>
      <c r="J5">
        <v>7.0000000000000007E-2</v>
      </c>
      <c r="K5">
        <f t="shared" si="3"/>
        <v>5</v>
      </c>
      <c r="L5">
        <f t="shared" si="4"/>
        <v>0.10526018844942059</v>
      </c>
      <c r="M5">
        <f t="shared" si="5"/>
        <v>19.750133999999999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2026-10-20T14:44:12Z</dcterms:modified>
</cp:coreProperties>
</file>