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7C05CAEE-FB58-46AB-95B3-A5372BEBEE8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2" i="1"/>
  <c r="F23" i="1"/>
  <c r="F24" i="1"/>
  <c r="F25" i="1"/>
  <c r="F26" i="1"/>
  <c r="F22" i="1"/>
  <c r="E23" i="1"/>
  <c r="E24" i="1"/>
  <c r="E25" i="1"/>
  <c r="E26" i="1"/>
  <c r="E22" i="1"/>
  <c r="D23" i="1"/>
  <c r="D24" i="1"/>
  <c r="D25" i="1"/>
  <c r="D26" i="1"/>
  <c r="D22" i="1"/>
  <c r="C23" i="1"/>
  <c r="C24" i="1"/>
  <c r="C25" i="1"/>
  <c r="C26" i="1"/>
  <c r="C22" i="1"/>
  <c r="B23" i="1"/>
  <c r="B24" i="1"/>
  <c r="B25" i="1"/>
  <c r="B26" i="1"/>
  <c r="B22" i="1"/>
  <c r="I13" i="1"/>
  <c r="I14" i="1"/>
  <c r="I15" i="1"/>
  <c r="I16" i="1"/>
  <c r="I17" i="1"/>
  <c r="I18" i="1"/>
  <c r="I12" i="1"/>
  <c r="A13" i="1"/>
  <c r="A14" i="1"/>
  <c r="A15" i="1"/>
  <c r="A16" i="1"/>
  <c r="A17" i="1"/>
  <c r="A18" i="1"/>
  <c r="A12" i="1"/>
  <c r="H13" i="1"/>
  <c r="H14" i="1"/>
  <c r="H15" i="1"/>
  <c r="H16" i="1"/>
  <c r="H17" i="1"/>
  <c r="H18" i="1"/>
  <c r="H12" i="1"/>
  <c r="G13" i="1"/>
  <c r="G15" i="1"/>
  <c r="G16" i="1"/>
  <c r="G17" i="1"/>
  <c r="G18" i="1"/>
  <c r="G12" i="1"/>
  <c r="F13" i="1"/>
  <c r="F14" i="1"/>
  <c r="F15" i="1"/>
  <c r="F16" i="1"/>
  <c r="F17" i="1"/>
  <c r="F18" i="1"/>
  <c r="F12" i="1"/>
  <c r="C11" i="1"/>
  <c r="D11" i="1"/>
  <c r="E11" i="1"/>
  <c r="B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B18" i="1"/>
  <c r="B13" i="1"/>
  <c r="B14" i="1"/>
  <c r="B15" i="1"/>
  <c r="B16" i="1"/>
  <c r="B17" i="1"/>
  <c r="B12" i="1"/>
  <c r="I4" i="1"/>
  <c r="I5" i="1"/>
  <c r="I6" i="1"/>
  <c r="I7" i="1"/>
  <c r="I8" i="1"/>
  <c r="I9" i="1"/>
  <c r="I3" i="1"/>
  <c r="H4" i="1"/>
  <c r="H5" i="1"/>
  <c r="H6" i="1"/>
  <c r="H7" i="1"/>
  <c r="H8" i="1"/>
  <c r="H9" i="1"/>
  <c r="H3" i="1"/>
  <c r="G4" i="1"/>
  <c r="G6" i="1"/>
  <c r="G7" i="1"/>
  <c r="G8" i="1"/>
  <c r="G9" i="1"/>
  <c r="G3" i="1"/>
  <c r="F4" i="1"/>
  <c r="F5" i="1"/>
  <c r="F6" i="1"/>
  <c r="F7" i="1"/>
  <c r="F8" i="1"/>
  <c r="F9" i="1"/>
  <c r="F3" i="1"/>
  <c r="E9" i="1"/>
  <c r="E6" i="1"/>
</calcChain>
</file>

<file path=xl/sharedStrings.xml><?xml version="1.0" encoding="utf-8"?>
<sst xmlns="http://schemas.openxmlformats.org/spreadsheetml/2006/main" count="17" uniqueCount="13">
  <si>
    <t>w</t>
    <phoneticPr fontId="1" type="noConversion"/>
  </si>
  <si>
    <t>V</t>
    <phoneticPr fontId="1" type="noConversion"/>
  </si>
  <si>
    <t>v/rootf</t>
    <phoneticPr fontId="1" type="noConversion"/>
  </si>
  <si>
    <t>\</t>
    <phoneticPr fontId="1" type="noConversion"/>
  </si>
  <si>
    <t>V/ROOTF</t>
    <phoneticPr fontId="1" type="noConversion"/>
  </si>
  <si>
    <t>V/sqrtF</t>
    <phoneticPr fontId="1" type="noConversion"/>
  </si>
  <si>
    <t>W</t>
    <phoneticPr fontId="1" type="noConversion"/>
  </si>
  <si>
    <t>D</t>
    <phoneticPr fontId="1" type="noConversion"/>
  </si>
  <si>
    <t>D+L</t>
    <phoneticPr fontId="1" type="noConversion"/>
  </si>
  <si>
    <t>1/D</t>
    <phoneticPr fontId="1" type="noConversion"/>
  </si>
  <si>
    <t>1/D+L</t>
    <phoneticPr fontId="1" type="noConversion"/>
  </si>
  <si>
    <t>SUB</t>
    <phoneticPr fontId="1" type="noConversion"/>
  </si>
  <si>
    <t>Fc/mN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</si>
</sst>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Sheet1!$F$22:$F$26</c:f>
              <c:numCache>
                <c:formatCode>General</c:formatCode>
                <c:ptCount val="5"/>
                <c:pt idx="0">
                  <c:v>14.033860931550784</c:v>
                </c:pt>
                <c:pt idx="1">
                  <c:v>19.303545199174309</c:v>
                </c:pt>
                <c:pt idx="2">
                  <c:v>28.881358366425737</c:v>
                </c:pt>
                <c:pt idx="3">
                  <c:v>50.716131954384757</c:v>
                </c:pt>
                <c:pt idx="4">
                  <c:v>141.17312621952325</c:v>
                </c:pt>
              </c:numCache>
            </c:numRef>
          </c:xVal>
          <c:yVal>
            <c:numRef>
              <c:f>Sheet1!$H$22:$H$26</c:f>
              <c:numCache>
                <c:formatCode>General</c:formatCode>
                <c:ptCount val="5"/>
                <c:pt idx="0">
                  <c:v>4.2999999999999995E-5</c:v>
                </c:pt>
                <c:pt idx="1">
                  <c:v>5.3999999999999998E-5</c:v>
                </c:pt>
                <c:pt idx="2">
                  <c:v>1.02E-4</c:v>
                </c:pt>
                <c:pt idx="3">
                  <c:v>1.5010000000000002E-4</c:v>
                </c:pt>
                <c:pt idx="4">
                  <c:v>2.7960000000000002E-4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A-4CF9-B3A0-165790B5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77360"/>
        <c:axId val="520776400"/>
      </c:scatterChart>
      <c:valAx>
        <c:axId val="52077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776400"/>
        <c:crosses val="autoZero"/>
        <c:crossBetween val="midCat"/>
      </c:valAx>
      <c:valAx>
        <c:axId val="5207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77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154780</xdr:colOff>
      <xdr:row>10</xdr:row>
      <xdr:rowOff>154781</xdr:rowOff>
    </xdr:from>
    <xdr:to>
      <xdr:col>16</xdr:col>
      <xdr:colOff>185738</xdr:colOff>
      <xdr:row>30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284B346-4AE3-29E0-579E-0207C386C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37" sqref="G37"/>
    </sheetView>
  </sheetViews>
  <sheetFormatPr defaultRowHeight="13.9" x14ac:dyDescent="0.4"/>
  <cols>
    <col min="3" max="4" width="9.06640625" customWidth="1"/>
    <col min="8" max="8" width="19.33203125" customWidth="1"/>
  </cols>
  <sheetData>
    <row r="1" spans="1:9" x14ac:dyDescent="0.4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</row>
    <row r="2" spans="1:9" x14ac:dyDescent="0.4">
      <c r="B2">
        <v>2</v>
      </c>
      <c r="C2">
        <v>4.9835000000000003</v>
      </c>
      <c r="D2">
        <v>2</v>
      </c>
      <c r="E2">
        <v>0</v>
      </c>
      <c r="I2" t="s">
        <v>4</v>
      </c>
    </row>
    <row r="3" spans="1:9" x14ac:dyDescent="0.4">
      <c r="A3">
        <v>13.35</v>
      </c>
      <c r="B3">
        <v>0.68310000000000004</v>
      </c>
      <c r="C3">
        <v>4.2099000000000002</v>
      </c>
      <c r="D3">
        <v>0.68179999999999996</v>
      </c>
      <c r="E3">
        <v>7.7999999999999999E-4</v>
      </c>
      <c r="F3">
        <f>2/SQRT(B3)</f>
        <v>2.4198466954687592</v>
      </c>
      <c r="G3">
        <f>4.9835/SQRT(C3)</f>
        <v>2.428838132422102</v>
      </c>
      <c r="H3">
        <f>2/SQRT(D3)</f>
        <v>2.422152578861017</v>
      </c>
      <c r="I3">
        <f>AVERAGE(F3:H3)</f>
        <v>2.4236124689172929</v>
      </c>
    </row>
    <row r="4" spans="1:9" x14ac:dyDescent="0.4">
      <c r="A4">
        <v>4.82</v>
      </c>
      <c r="B4">
        <v>4.7183999999999999</v>
      </c>
      <c r="C4">
        <v>29.267800000000001</v>
      </c>
      <c r="D4">
        <v>4.7286999999999999</v>
      </c>
      <c r="E4">
        <v>0</v>
      </c>
      <c r="F4">
        <f t="shared" ref="F4:F9" si="0">2/SQRT(B4)</f>
        <v>0.92073068717432782</v>
      </c>
      <c r="G4">
        <f t="shared" ref="G4:G9" si="1">4.9835/SQRT(C4)</f>
        <v>0.92116923120184635</v>
      </c>
      <c r="H4">
        <f t="shared" ref="H4:H9" si="2">2/SQRT(D4)</f>
        <v>0.91972737802627724</v>
      </c>
      <c r="I4">
        <f t="shared" ref="I4:I9" si="3">AVERAGE(F4:H4)</f>
        <v>0.92054243213415043</v>
      </c>
    </row>
    <row r="5" spans="1:9" x14ac:dyDescent="0.4">
      <c r="A5">
        <v>2.93</v>
      </c>
      <c r="B5">
        <v>12.5755</v>
      </c>
      <c r="D5">
        <v>12.578799999999999</v>
      </c>
      <c r="E5">
        <v>0</v>
      </c>
      <c r="F5">
        <f t="shared" si="0"/>
        <v>0.56398475513412316</v>
      </c>
      <c r="G5" t="s">
        <v>3</v>
      </c>
      <c r="H5">
        <f t="shared" si="2"/>
        <v>0.56391077066126682</v>
      </c>
      <c r="I5">
        <f t="shared" si="3"/>
        <v>0.56394776289769499</v>
      </c>
    </row>
    <row r="6" spans="1:9" x14ac:dyDescent="0.4">
      <c r="A6">
        <v>21.1</v>
      </c>
      <c r="B6">
        <v>0.25700000000000001</v>
      </c>
      <c r="C6">
        <v>1.5925</v>
      </c>
      <c r="D6">
        <v>0.25900000000000001</v>
      </c>
      <c r="E6">
        <f>0.0004*9.812</f>
        <v>3.9248E-3</v>
      </c>
      <c r="F6">
        <f t="shared" si="0"/>
        <v>3.945149215762358</v>
      </c>
      <c r="G6">
        <f t="shared" si="1"/>
        <v>3.9490691826977562</v>
      </c>
      <c r="H6">
        <f t="shared" si="2"/>
        <v>3.9298874594592967</v>
      </c>
      <c r="I6">
        <f t="shared" si="3"/>
        <v>3.9413686193064703</v>
      </c>
    </row>
    <row r="7" spans="1:9" x14ac:dyDescent="0.4">
      <c r="A7">
        <v>18.170000000000002</v>
      </c>
      <c r="B7">
        <v>0.3342</v>
      </c>
      <c r="C7">
        <v>2.0510000000000002</v>
      </c>
      <c r="D7">
        <v>0.3266</v>
      </c>
      <c r="E7">
        <v>1E-4</v>
      </c>
      <c r="F7">
        <f t="shared" si="0"/>
        <v>3.4596070455522763</v>
      </c>
      <c r="G7">
        <f t="shared" si="1"/>
        <v>3.479778755919857</v>
      </c>
      <c r="H7">
        <f t="shared" si="2"/>
        <v>3.4996281842570847</v>
      </c>
      <c r="I7">
        <f t="shared" si="3"/>
        <v>3.4796713285764063</v>
      </c>
    </row>
    <row r="8" spans="1:9" x14ac:dyDescent="0.4">
      <c r="A8">
        <v>16.28</v>
      </c>
      <c r="B8">
        <v>0.41670000000000001</v>
      </c>
      <c r="C8">
        <v>2.5703999999999998</v>
      </c>
      <c r="D8">
        <v>0.4123</v>
      </c>
      <c r="E8">
        <v>4.0000000000000002E-4</v>
      </c>
      <c r="F8">
        <f t="shared" si="0"/>
        <v>3.0982627489344874</v>
      </c>
      <c r="G8">
        <f t="shared" si="1"/>
        <v>3.1083800026785622</v>
      </c>
      <c r="H8">
        <f t="shared" si="2"/>
        <v>3.1147509593361429</v>
      </c>
      <c r="I8">
        <f t="shared" si="3"/>
        <v>3.1071312369830637</v>
      </c>
    </row>
    <row r="9" spans="1:9" x14ac:dyDescent="0.4">
      <c r="A9">
        <v>7.75</v>
      </c>
      <c r="B9">
        <v>2.2789000000000001</v>
      </c>
      <c r="C9">
        <v>14.0844</v>
      </c>
      <c r="D9">
        <v>2.2806999999999999</v>
      </c>
      <c r="E9">
        <f>0.00018*9.812</f>
        <v>1.7661599999999999E-3</v>
      </c>
      <c r="F9">
        <f t="shared" si="0"/>
        <v>1.3248519871096829</v>
      </c>
      <c r="G9">
        <f t="shared" si="1"/>
        <v>1.3278997443198621</v>
      </c>
      <c r="H9">
        <f t="shared" si="2"/>
        <v>1.3243290765363485</v>
      </c>
      <c r="I9">
        <f t="shared" si="3"/>
        <v>1.3256936026552977</v>
      </c>
    </row>
    <row r="11" spans="1:9" x14ac:dyDescent="0.4">
      <c r="A11" t="s">
        <v>6</v>
      </c>
      <c r="B11">
        <f>B2*1000</f>
        <v>2000</v>
      </c>
      <c r="C11">
        <f t="shared" ref="C11:E11" si="4">C2*1000</f>
        <v>4983.5</v>
      </c>
      <c r="D11">
        <f t="shared" si="4"/>
        <v>2000</v>
      </c>
      <c r="E11">
        <f t="shared" si="4"/>
        <v>0</v>
      </c>
      <c r="I11" t="s">
        <v>5</v>
      </c>
    </row>
    <row r="12" spans="1:9" x14ac:dyDescent="0.4">
      <c r="A12">
        <f>A3*0.001</f>
        <v>1.3350000000000001E-2</v>
      </c>
      <c r="B12">
        <f>B3*0.001</f>
        <v>6.8310000000000007E-4</v>
      </c>
      <c r="C12">
        <f t="shared" ref="C12:E12" si="5">C3*0.001</f>
        <v>4.2098999999999999E-3</v>
      </c>
      <c r="D12">
        <f t="shared" si="5"/>
        <v>6.8179999999999998E-4</v>
      </c>
      <c r="E12">
        <f t="shared" si="5"/>
        <v>7.8000000000000005E-7</v>
      </c>
      <c r="F12">
        <f>2000/SQRT(B12)</f>
        <v>76522.271461131313</v>
      </c>
      <c r="G12">
        <f>4983.5/SQRT(C12)</f>
        <v>76806.605663235008</v>
      </c>
      <c r="H12">
        <f>2000/SQRT(D12)</f>
        <v>76595.189896514232</v>
      </c>
      <c r="I12">
        <f>AVERAGE(F12:H12)</f>
        <v>76641.355673626851</v>
      </c>
    </row>
    <row r="13" spans="1:9" x14ac:dyDescent="0.4">
      <c r="A13">
        <f t="shared" ref="A13:A18" si="6">A4*0.001</f>
        <v>4.8200000000000005E-3</v>
      </c>
      <c r="B13">
        <f t="shared" ref="B13:E19" si="7">B4*0.001</f>
        <v>4.7184000000000002E-3</v>
      </c>
      <c r="C13">
        <f t="shared" si="7"/>
        <v>2.92678E-2</v>
      </c>
      <c r="D13">
        <f t="shared" si="7"/>
        <v>4.7286999999999997E-3</v>
      </c>
      <c r="E13">
        <f t="shared" si="7"/>
        <v>0</v>
      </c>
      <c r="F13">
        <f t="shared" ref="F13:F18" si="8">2000/SQRT(B13)</f>
        <v>29116.060830828577</v>
      </c>
      <c r="G13">
        <f t="shared" ref="G13:G18" si="9">4983.5/SQRT(C13)</f>
        <v>29129.928810640795</v>
      </c>
      <c r="H13">
        <f t="shared" ref="H13:H18" si="10">2000/SQRT(D13)</f>
        <v>29084.333409777344</v>
      </c>
      <c r="I13">
        <f t="shared" ref="I13:I18" si="11">AVERAGE(F13:H13)</f>
        <v>29110.107683748905</v>
      </c>
    </row>
    <row r="14" spans="1:9" x14ac:dyDescent="0.4">
      <c r="A14">
        <f t="shared" si="6"/>
        <v>2.9300000000000003E-3</v>
      </c>
      <c r="B14">
        <f t="shared" si="7"/>
        <v>1.25755E-2</v>
      </c>
      <c r="C14">
        <f t="shared" si="7"/>
        <v>0</v>
      </c>
      <c r="D14">
        <f t="shared" si="7"/>
        <v>1.2578799999999999E-2</v>
      </c>
      <c r="E14">
        <f t="shared" si="7"/>
        <v>0</v>
      </c>
      <c r="F14">
        <f t="shared" si="8"/>
        <v>17834.763918361714</v>
      </c>
      <c r="G14" t="s">
        <v>3</v>
      </c>
      <c r="H14">
        <f t="shared" si="10"/>
        <v>17832.424323904586</v>
      </c>
      <c r="I14">
        <f t="shared" si="11"/>
        <v>17833.594121133152</v>
      </c>
    </row>
    <row r="15" spans="1:9" x14ac:dyDescent="0.4">
      <c r="A15">
        <f t="shared" si="6"/>
        <v>2.1100000000000001E-2</v>
      </c>
      <c r="B15">
        <f t="shared" si="7"/>
        <v>2.5700000000000001E-4</v>
      </c>
      <c r="C15">
        <f t="shared" si="7"/>
        <v>1.5925000000000002E-3</v>
      </c>
      <c r="D15">
        <f t="shared" si="7"/>
        <v>2.5900000000000001E-4</v>
      </c>
      <c r="E15">
        <f t="shared" si="7"/>
        <v>3.9248000000000001E-6</v>
      </c>
      <c r="F15">
        <f t="shared" si="8"/>
        <v>124756.57231036108</v>
      </c>
      <c r="G15">
        <f t="shared" si="9"/>
        <v>124880.53254904514</v>
      </c>
      <c r="H15">
        <f t="shared" si="10"/>
        <v>124273.95320024001</v>
      </c>
      <c r="I15">
        <f t="shared" si="11"/>
        <v>124637.01935321541</v>
      </c>
    </row>
    <row r="16" spans="1:9" x14ac:dyDescent="0.4">
      <c r="A16">
        <f t="shared" si="6"/>
        <v>1.8170000000000002E-2</v>
      </c>
      <c r="B16">
        <f t="shared" si="7"/>
        <v>3.3419999999999999E-4</v>
      </c>
      <c r="C16">
        <f t="shared" si="7"/>
        <v>2.0510000000000003E-3</v>
      </c>
      <c r="D16">
        <f t="shared" si="7"/>
        <v>3.2660000000000002E-4</v>
      </c>
      <c r="E16">
        <f t="shared" si="7"/>
        <v>1.0000000000000001E-7</v>
      </c>
      <c r="F16">
        <f t="shared" si="8"/>
        <v>109402.38073111091</v>
      </c>
      <c r="G16">
        <f t="shared" si="9"/>
        <v>110040.26622173877</v>
      </c>
      <c r="H16">
        <f t="shared" si="10"/>
        <v>110667.96025971808</v>
      </c>
      <c r="I16">
        <f t="shared" si="11"/>
        <v>110036.86907085592</v>
      </c>
    </row>
    <row r="17" spans="1:9" x14ac:dyDescent="0.4">
      <c r="A17">
        <f t="shared" si="6"/>
        <v>1.6280000000000003E-2</v>
      </c>
      <c r="B17">
        <f t="shared" si="7"/>
        <v>4.1670000000000005E-4</v>
      </c>
      <c r="C17">
        <f t="shared" si="7"/>
        <v>2.5704E-3</v>
      </c>
      <c r="D17">
        <f t="shared" si="7"/>
        <v>4.1229999999999999E-4</v>
      </c>
      <c r="E17">
        <f t="shared" si="7"/>
        <v>4.0000000000000003E-7</v>
      </c>
      <c r="F17">
        <f t="shared" si="8"/>
        <v>97975.670762874011</v>
      </c>
      <c r="G17">
        <f t="shared" si="9"/>
        <v>98295.606417845425</v>
      </c>
      <c r="H17">
        <f t="shared" si="10"/>
        <v>98497.073756967118</v>
      </c>
      <c r="I17">
        <f t="shared" si="11"/>
        <v>98256.116979228842</v>
      </c>
    </row>
    <row r="18" spans="1:9" x14ac:dyDescent="0.4">
      <c r="A18">
        <f t="shared" si="6"/>
        <v>7.7499999999999999E-3</v>
      </c>
      <c r="B18">
        <f>B9*0.001</f>
        <v>2.2789000000000004E-3</v>
      </c>
      <c r="C18">
        <f t="shared" ref="C18:E18" si="12">C9*0.001</f>
        <v>1.40844E-2</v>
      </c>
      <c r="D18">
        <f t="shared" si="12"/>
        <v>2.2807000000000001E-3</v>
      </c>
      <c r="E18">
        <f t="shared" si="12"/>
        <v>1.7661599999999999E-6</v>
      </c>
      <c r="F18">
        <f t="shared" si="8"/>
        <v>41895.498418666357</v>
      </c>
      <c r="G18">
        <f t="shared" si="9"/>
        <v>41991.876964060029</v>
      </c>
      <c r="H18">
        <f t="shared" si="10"/>
        <v>41878.962534423146</v>
      </c>
      <c r="I18">
        <f t="shared" si="11"/>
        <v>41922.112639049847</v>
      </c>
    </row>
    <row r="21" spans="1:9" x14ac:dyDescent="0.4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</row>
    <row r="22" spans="1:9" x14ac:dyDescent="0.4">
      <c r="A22">
        <v>4.6589999999999998</v>
      </c>
      <c r="B22">
        <f>A22/100</f>
        <v>4.6589999999999999E-2</v>
      </c>
      <c r="C22">
        <f>B22+0.088</f>
        <v>0.13458999999999999</v>
      </c>
      <c r="D22">
        <f>1/B22</f>
        <v>21.4638334406525</v>
      </c>
      <c r="E22">
        <f>1/C22</f>
        <v>7.4299725091017166</v>
      </c>
      <c r="F22">
        <f>D22-E22</f>
        <v>14.033860931550784</v>
      </c>
      <c r="G22">
        <v>4.2999999999999997E-2</v>
      </c>
      <c r="H22">
        <f>G22/1000</f>
        <v>4.2999999999999995E-5</v>
      </c>
    </row>
    <row r="23" spans="1:9" x14ac:dyDescent="0.4">
      <c r="A23">
        <v>3.6589999999999998</v>
      </c>
      <c r="B23">
        <f t="shared" ref="B23:B26" si="13">A23/100</f>
        <v>3.6589999999999998E-2</v>
      </c>
      <c r="C23">
        <f t="shared" ref="C23:C26" si="14">B23+0.088</f>
        <v>0.12458999999999999</v>
      </c>
      <c r="D23">
        <f t="shared" ref="D23:D26" si="15">1/B23</f>
        <v>27.32987154960372</v>
      </c>
      <c r="E23">
        <f t="shared" ref="E23:E26" si="16">1/C23</f>
        <v>8.0263263504294091</v>
      </c>
      <c r="F23">
        <f t="shared" ref="F23:F26" si="17">D23-E23</f>
        <v>19.303545199174309</v>
      </c>
      <c r="G23">
        <v>5.3999999999999999E-2</v>
      </c>
      <c r="H23">
        <f t="shared" ref="H23:H26" si="18">G23/1000</f>
        <v>5.3999999999999998E-5</v>
      </c>
    </row>
    <row r="24" spans="1:9" x14ac:dyDescent="0.4">
      <c r="A24">
        <v>2.6589999999999998</v>
      </c>
      <c r="B24">
        <f t="shared" si="13"/>
        <v>2.6589999999999999E-2</v>
      </c>
      <c r="C24">
        <f t="shared" si="14"/>
        <v>0.11459</v>
      </c>
      <c r="D24">
        <f t="shared" si="15"/>
        <v>37.608123354644604</v>
      </c>
      <c r="E24">
        <f t="shared" si="16"/>
        <v>8.7267649882188678</v>
      </c>
      <c r="F24">
        <f t="shared" si="17"/>
        <v>28.881358366425737</v>
      </c>
      <c r="G24">
        <v>0.10199999999999999</v>
      </c>
      <c r="H24">
        <f t="shared" si="18"/>
        <v>1.02E-4</v>
      </c>
    </row>
    <row r="25" spans="1:9" x14ac:dyDescent="0.4">
      <c r="A25">
        <v>1.659</v>
      </c>
      <c r="B25">
        <f t="shared" si="13"/>
        <v>1.6590000000000001E-2</v>
      </c>
      <c r="C25">
        <f t="shared" si="14"/>
        <v>0.10458999999999999</v>
      </c>
      <c r="D25">
        <f t="shared" si="15"/>
        <v>60.277275467148883</v>
      </c>
      <c r="E25">
        <f t="shared" si="16"/>
        <v>9.5611435127641275</v>
      </c>
      <c r="F25">
        <f t="shared" si="17"/>
        <v>50.716131954384757</v>
      </c>
      <c r="G25">
        <v>0.15010000000000001</v>
      </c>
      <c r="H25">
        <f t="shared" si="18"/>
        <v>1.5010000000000002E-4</v>
      </c>
    </row>
    <row r="26" spans="1:9" x14ac:dyDescent="0.4">
      <c r="A26">
        <v>0.65900000000000003</v>
      </c>
      <c r="B26">
        <f t="shared" si="13"/>
        <v>6.5900000000000004E-3</v>
      </c>
      <c r="C26">
        <f t="shared" si="14"/>
        <v>9.4589999999999994E-2</v>
      </c>
      <c r="D26">
        <f t="shared" si="15"/>
        <v>151.74506828528072</v>
      </c>
      <c r="E26">
        <f t="shared" si="16"/>
        <v>10.571942065757481</v>
      </c>
      <c r="F26">
        <f t="shared" si="17"/>
        <v>141.17312621952325</v>
      </c>
      <c r="G26">
        <v>0.27960000000000002</v>
      </c>
      <c r="H26">
        <f t="shared" si="18"/>
        <v>2.7960000000000002E-4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2025-11-27T17:19:51Z</dcterms:modified>
</cp:coreProperties>
</file>